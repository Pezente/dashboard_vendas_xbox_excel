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Tiago Pezente\Desktop\Computacao\Dio Totvs\"/>
    </mc:Choice>
  </mc:AlternateContent>
  <xr:revisionPtr revIDLastSave="0" documentId="13_ncr:1_{E8D7A954-747C-431D-910F-5832BA485FF5}" xr6:coauthVersionLast="47" xr6:coauthVersionMax="47" xr10:uidLastSave="{00000000-0000-0000-0000-000000000000}"/>
  <bookViews>
    <workbookView xWindow="-120" yWindow="-120" windowWidth="29040" windowHeight="15840" tabRatio="788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" l="1"/>
  <c r="C35" i="3"/>
</calcChain>
</file>

<file path=xl/sharedStrings.xml><?xml version="1.0" encoding="utf-8"?>
<sst xmlns="http://schemas.openxmlformats.org/spreadsheetml/2006/main" count="2027" uniqueCount="328">
  <si>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</si>
  <si>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</si>
  <si>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</si>
  <si>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</si>
  <si>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</si>
  <si>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</si>
  <si>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</si>
  <si>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</si>
  <si>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</si>
  <si>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</si>
  <si>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</si>
  <si>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</si>
  <si>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</si>
  <si>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</si>
  <si>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</si>
  <si>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</si>
  <si>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</si>
  <si>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</si>
  <si>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</si>
  <si>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</si>
  <si>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</si>
  <si>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</si>
  <si>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</si>
  <si>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</si>
  <si>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</si>
  <si>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</si>
  <si>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</si>
  <si>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</si>
  <si>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</si>
  <si>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</si>
  <si>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</si>
  <si>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</si>
  <si>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</si>
  <si>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</si>
  <si>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</si>
  <si>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</si>
  <si>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</si>
  <si>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</si>
  <si>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</si>
  <si>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</si>
  <si>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</si>
  <si>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</si>
  <si>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</si>
  <si>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</si>
  <si>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</si>
  <si>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</si>
  <si>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</si>
  <si>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</si>
  <si>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</si>
  <si>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</si>
  <si>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</si>
  <si>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</si>
  <si>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</si>
  <si>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</si>
  <si>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</si>
  <si>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</si>
  <si>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</si>
  <si>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</si>
  <si>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</si>
  <si>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</si>
  <si>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</si>
  <si>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</si>
  <si>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</si>
  <si>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</si>
  <si>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</si>
  <si>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</si>
  <si>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</si>
  <si>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</si>
  <si>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</si>
  <si>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</si>
  <si>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</si>
  <si>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</si>
  <si>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</si>
  <si>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</si>
  <si>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</si>
  <si>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</si>
  <si>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</si>
  <si>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</si>
  <si>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</si>
  <si>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</si>
  <si>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</si>
  <si>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</si>
  <si>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</si>
  <si>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</si>
  <si>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</si>
  <si>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</si>
  <si>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</si>
  <si>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</si>
  <si>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</si>
  <si>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</si>
  <si>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</si>
  <si>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</si>
  <si>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</si>
  <si>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</si>
  <si>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</si>
  <si>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</si>
  <si>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</si>
  <si>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</si>
  <si>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</si>
  <si>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</si>
  <si>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</si>
  <si>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</si>
  <si>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</si>
  <si>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</si>
  <si>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</si>
  <si>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</si>
  <si>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</si>
  <si>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</si>
  <si>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</si>
  <si>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</si>
  <si>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</si>
  <si>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</si>
  <si>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</si>
  <si>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</si>
  <si>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</si>
  <si>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</si>
  <si>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</si>
  <si>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</si>
  <si>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</si>
  <si>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</si>
  <si>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</si>
  <si>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</si>
  <si>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</si>
  <si>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</si>
  <si>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</si>
  <si>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</si>
  <si>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</si>
  <si>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</si>
  <si>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</si>
  <si>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</si>
  <si>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</si>
  <si>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</si>
  <si>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</si>
  <si>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</si>
  <si>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</si>
  <si>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</si>
  <si>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</si>
  <si>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</si>
  <si>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</si>
  <si>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</si>
  <si>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</si>
  <si>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</si>
  <si>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</si>
  <si>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</si>
  <si>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</si>
  <si>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</si>
  <si>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</si>
  <si>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</si>
  <si>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</si>
  <si>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</si>
  <si>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</si>
  <si>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</si>
  <si>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</si>
  <si>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</si>
  <si>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</si>
  <si>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</si>
  <si>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</si>
  <si>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</si>
  <si>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</si>
  <si>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</si>
  <si>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</si>
  <si>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</si>
  <si>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</si>
  <si>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</si>
  <si>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</si>
  <si>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</si>
  <si>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</si>
  <si>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</si>
  <si>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</si>
  <si>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</si>
  <si>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</si>
  <si>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</si>
  <si>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</si>
  <si>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</si>
  <si>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</si>
  <si>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</si>
  <si>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</si>
  <si>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</si>
  <si>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</si>
  <si>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</si>
  <si>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</si>
  <si>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</si>
  <si>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</si>
  <si>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</si>
  <si>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</si>
  <si>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</si>
  <si>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</si>
  <si>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</si>
  <si>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</si>
  <si>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</si>
  <si>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</si>
  <si>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</si>
  <si>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</si>
  <si>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</si>
  <si>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</si>
  <si>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</si>
  <si>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</si>
  <si>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</si>
  <si>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</si>
  <si>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</si>
  <si>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</si>
  <si>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</si>
  <si>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</si>
  <si>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</si>
  <si>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</si>
  <si>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</si>
  <si>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</si>
  <si>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</si>
  <si>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</si>
  <si>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</si>
  <si>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</si>
  <si>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</si>
  <si>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</si>
  <si>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</si>
  <si>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</si>
  <si>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</si>
  <si>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</si>
  <si>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</si>
  <si>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</si>
  <si>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</si>
  <si>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</si>
  <si>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</si>
  <si>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</si>
  <si>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</si>
  <si>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</si>
  <si>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</si>
  <si>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</si>
  <si>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</si>
  <si>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</si>
  <si>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</si>
  <si>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</si>
  <si>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</si>
  <si>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</si>
  <si>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</si>
  <si>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</si>
  <si>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</si>
  <si>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</si>
  <si>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</si>
  <si>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</si>
  <si>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</si>
  <si>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</si>
  <si>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</si>
  <si>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</si>
  <si>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</si>
  <si>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</si>
  <si>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</si>
  <si>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</si>
  <si>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</si>
  <si>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</si>
  <si>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</si>
  <si>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</si>
  <si>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</si>
  <si>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</si>
  <si>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</si>
  <si>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</si>
  <si>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</si>
  <si>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</si>
  <si>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</si>
  <si>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</si>
  <si>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</si>
  <si>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</si>
  <si>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</si>
  <si>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</si>
  <si>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</si>
  <si>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</si>
  <si>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</si>
  <si>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</si>
  <si>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</si>
  <si>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</si>
  <si>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</si>
  <si>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</si>
  <si>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</si>
  <si>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</si>
  <si>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</si>
  <si>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</si>
  <si>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</si>
  <si>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</si>
  <si>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</si>
  <si>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</si>
  <si>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</si>
  <si>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</si>
  <si>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</si>
  <si>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</si>
  <si>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</si>
  <si>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</si>
  <si>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</si>
  <si>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</si>
  <si>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</si>
  <si>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</si>
  <si>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</si>
  <si>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</si>
  <si>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</si>
  <si>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</si>
  <si>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</si>
  <si>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</si>
  <si>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</si>
  <si>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</si>
  <si>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</si>
  <si>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</si>
  <si>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</si>
  <si>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</si>
  <si>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</si>
  <si>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</si>
  <si>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</si>
  <si>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</si>
  <si>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</si>
  <si>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</si>
  <si>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</si>
  <si>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</si>
  <si>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</si>
  <si>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</si>
  <si>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</si>
  <si>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</si>
  <si>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1:</t>
  </si>
  <si>
    <t>Rótulos de Linha</t>
  </si>
  <si>
    <t>Total Geral</t>
  </si>
  <si>
    <t>Soma de Total Value</t>
  </si>
  <si>
    <t>(Tudo)</t>
  </si>
  <si>
    <t>Pergunta 2:</t>
  </si>
  <si>
    <r>
      <t xml:space="preserve">Qual o faturamento de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agregadas)?</t>
    </r>
  </si>
  <si>
    <r>
      <t xml:space="preserve">Qual o faturamento de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, separado por ter ou não </t>
    </r>
    <r>
      <rPr>
        <b/>
        <sz val="11"/>
        <color theme="1"/>
        <rFont val="Aptos Narrow"/>
        <family val="2"/>
        <scheme val="minor"/>
      </rPr>
      <t>auto renovação</t>
    </r>
    <r>
      <rPr>
        <sz val="11"/>
        <color theme="1"/>
        <rFont val="Aptos Narrow"/>
        <family val="2"/>
        <scheme val="minor"/>
      </rPr>
      <t>?</t>
    </r>
  </si>
  <si>
    <t>XBOX GAME PASS SUBSCRIPTIONS SALES</t>
  </si>
  <si>
    <t>Pergunta 3:</t>
  </si>
  <si>
    <t>Total de vendas de Assinaturas do EA Play</t>
  </si>
  <si>
    <t>Soma de EA Play Season Pass</t>
  </si>
  <si>
    <t>Pergunta 4:</t>
  </si>
  <si>
    <t>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</si>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</sst>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 style="thin">
        <color rgb="FF22C55E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/>
    <xf numFmtId="0" fontId="0" fillId="4" borderId="3" xfId="0" applyFill="1" applyBorder="1"/>
    <xf numFmtId="0" fontId="0" fillId="0" borderId="0" xfId="0" applyNumberFormat="1"/>
    <xf numFmtId="44" fontId="0" fillId="0" borderId="0" xfId="2" applyFont="1"/>
    <xf numFmtId="0" fontId="4" fillId="0" borderId="2" xfId="1" applyFont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7635B664-6C72-4C64-A3ED-3C991DA84697}">
      <tableStyleElement type="wholeTable" dxfId="1"/>
      <tableStyleElement type="headerRow" dxfId="0"/>
    </tableStyle>
  </tableStyles>
  <colors>
    <mruColors>
      <color rgb="FFE8E6E9"/>
      <color rgb="FF22C55E"/>
      <color rgb="FF5BF6A8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637200069098474"/>
          <c:y val="4.7044038203665324E-2"/>
          <c:w val="0.86537335260633752"/>
          <c:h val="0.905911923592669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9E-4085-8618-176C9B37C9A0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9E-4085-8618-176C9B37C9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9E-4085-8618-176C9B37C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7693008"/>
        <c:axId val="1977693488"/>
      </c:barChart>
      <c:catAx>
        <c:axId val="1977693008"/>
        <c:scaling>
          <c:orientation val="minMax"/>
        </c:scaling>
        <c:delete val="0"/>
        <c:axPos val="l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Auto Renewal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7693488"/>
        <c:crosses val="autoZero"/>
        <c:auto val="1"/>
        <c:lblAlgn val="ctr"/>
        <c:lblOffset val="100"/>
        <c:noMultiLvlLbl val="0"/>
      </c:catAx>
      <c:valAx>
        <c:axId val="197769348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7769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2793" y="5414681"/>
          <a:ext cx="1536029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68327</xdr:colOff>
      <xdr:row>0</xdr:row>
      <xdr:rowOff>42365</xdr:rowOff>
    </xdr:from>
    <xdr:to>
      <xdr:col>3</xdr:col>
      <xdr:colOff>24727</xdr:colOff>
      <xdr:row>3</xdr:row>
      <xdr:rowOff>11208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A08ACA-DC80-4AB9-BBC5-EE5829A7EE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6" t="19622" r="71980" b="20919"/>
        <a:stretch>
          <a:fillRect/>
        </a:stretch>
      </xdr:blipFill>
      <xdr:spPr>
        <a:xfrm>
          <a:off x="1962121" y="42365"/>
          <a:ext cx="796841" cy="820490"/>
        </a:xfrm>
        <a:prstGeom prst="rect">
          <a:avLst/>
        </a:prstGeom>
      </xdr:spPr>
    </xdr:pic>
    <xdr:clientData/>
  </xdr:twoCellAnchor>
  <xdr:twoCellAnchor editAs="absolute">
    <xdr:from>
      <xdr:col>0</xdr:col>
      <xdr:colOff>11207</xdr:colOff>
      <xdr:row>4</xdr:row>
      <xdr:rowOff>179725</xdr:rowOff>
    </xdr:from>
    <xdr:to>
      <xdr:col>0</xdr:col>
      <xdr:colOff>1860177</xdr:colOff>
      <xdr:row>10</xdr:row>
      <xdr:rowOff>162140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11FC7680-13D1-4C49-ACFC-77AB54E13C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7" y="1231616"/>
              <a:ext cx="1848970" cy="13573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11206</xdr:colOff>
      <xdr:row>5</xdr:row>
      <xdr:rowOff>61293</xdr:rowOff>
    </xdr:from>
    <xdr:to>
      <xdr:col>8</xdr:col>
      <xdr:colOff>168088</xdr:colOff>
      <xdr:row>10</xdr:row>
      <xdr:rowOff>94911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ABD155B7-6FC4-24FE-B592-F6592E3FA3D2}"/>
            </a:ext>
          </a:extLst>
        </xdr:cNvPr>
        <xdr:cNvGrpSpPr/>
      </xdr:nvGrpSpPr>
      <xdr:grpSpPr>
        <a:xfrm>
          <a:off x="2148119" y="1303684"/>
          <a:ext cx="3834360" cy="1218031"/>
          <a:chOff x="2353235" y="1019735"/>
          <a:chExt cx="4796118" cy="1544171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78A6384D-D23D-7581-A7A7-200C6C19A4FA}"/>
              </a:ext>
            </a:extLst>
          </xdr:cNvPr>
          <xdr:cNvSpPr/>
        </xdr:nvSpPr>
        <xdr:spPr>
          <a:xfrm>
            <a:off x="2353235" y="1030941"/>
            <a:ext cx="4796118" cy="144555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24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168A4A3C-AE4C-4DD2-A467-12AFDE8F4C77}"/>
              </a:ext>
            </a:extLst>
          </xdr:cNvPr>
          <xdr:cNvSpPr/>
        </xdr:nvSpPr>
        <xdr:spPr>
          <a:xfrm>
            <a:off x="3999240" y="1509433"/>
            <a:ext cx="3008216" cy="88974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7F5FFDC9-F170-42B8-B8C9-BFA48F91C4E2}" type="TxLink">
              <a:rPr lang="en-US" sz="3200" b="0" i="0" u="none" strike="noStrike">
                <a:solidFill>
                  <a:srgbClr val="2AE6B1"/>
                </a:solidFill>
                <a:latin typeface="Aptos Narrow"/>
              </a:rPr>
              <a:t> R$ 2.940,00 </a:t>
            </a:fld>
            <a:endParaRPr lang="pt-BR" sz="3200">
              <a:solidFill>
                <a:srgbClr val="2AE6B1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1CD0C8ED-10B8-4940-945C-9E51057937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33814" y="1344707"/>
            <a:ext cx="1210236" cy="1219199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682ECFAF-2083-CC04-0775-2D7B8BEA8E1C}"/>
              </a:ext>
            </a:extLst>
          </xdr:cNvPr>
          <xdr:cNvSpPr/>
        </xdr:nvSpPr>
        <xdr:spPr>
          <a:xfrm>
            <a:off x="2353235" y="1019735"/>
            <a:ext cx="4784912" cy="470647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/>
              <a:t>TOTAL</a:t>
            </a:r>
            <a:r>
              <a:rPr lang="pt-BR" sz="1200" baseline="0"/>
              <a:t> SUBSCRIPTIONS EA PLAY SEASON PASS</a:t>
            </a:r>
            <a:endParaRPr lang="pt-BR" sz="1200"/>
          </a:p>
        </xdr:txBody>
      </xdr:sp>
    </xdr:grpSp>
    <xdr:clientData/>
  </xdr:twoCellAnchor>
  <xdr:twoCellAnchor>
    <xdr:from>
      <xdr:col>8</xdr:col>
      <xdr:colOff>286870</xdr:colOff>
      <xdr:row>5</xdr:row>
      <xdr:rowOff>72499</xdr:rowOff>
    </xdr:from>
    <xdr:to>
      <xdr:col>15</xdr:col>
      <xdr:colOff>6723</xdr:colOff>
      <xdr:row>10</xdr:row>
      <xdr:rowOff>37613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A007C596-8432-A44B-2519-6CA7DD838945}"/>
            </a:ext>
          </a:extLst>
        </xdr:cNvPr>
        <xdr:cNvGrpSpPr/>
      </xdr:nvGrpSpPr>
      <xdr:grpSpPr>
        <a:xfrm>
          <a:off x="6101261" y="1314890"/>
          <a:ext cx="3836310" cy="1149527"/>
          <a:chOff x="6371665" y="1015254"/>
          <a:chExt cx="3787588" cy="1141732"/>
        </a:xfrm>
      </xdr:grpSpPr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D20DB759-70CA-4C7E-8AFD-689D49547B91}"/>
              </a:ext>
            </a:extLst>
          </xdr:cNvPr>
          <xdr:cNvGrpSpPr/>
        </xdr:nvGrpSpPr>
        <xdr:grpSpPr>
          <a:xfrm>
            <a:off x="6371665" y="1015254"/>
            <a:ext cx="3787588" cy="1141732"/>
            <a:chOff x="2353235" y="1019735"/>
            <a:chExt cx="4796118" cy="1456765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215603A2-8516-35F1-0CAE-0145B97100F9}"/>
                </a:ext>
              </a:extLst>
            </xdr:cNvPr>
            <xdr:cNvSpPr/>
          </xdr:nvSpPr>
          <xdr:spPr>
            <a:xfrm>
              <a:off x="2353235" y="1030941"/>
              <a:ext cx="4796118" cy="1445559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C35">
          <xdr:nvSpPr>
            <xdr:cNvPr id="23" name="Retângulo: Cantos Arredondados 22">
              <a:extLst>
                <a:ext uri="{FF2B5EF4-FFF2-40B4-BE49-F238E27FC236}">
                  <a16:creationId xmlns:a16="http://schemas.microsoft.com/office/drawing/2014/main" id="{C80BFFF3-34ED-381A-129A-AD933A883887}"/>
                </a:ext>
              </a:extLst>
            </xdr:cNvPr>
            <xdr:cNvSpPr/>
          </xdr:nvSpPr>
          <xdr:spPr>
            <a:xfrm>
              <a:off x="4146814" y="1533645"/>
              <a:ext cx="2937266" cy="88974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CFBBB8A4-A0EB-4536-9B14-45108F938B75}" type="TxLink">
                <a:rPr lang="en-US" sz="3200" b="0" i="0" u="none" strike="noStrike">
                  <a:solidFill>
                    <a:srgbClr val="2AE6B1"/>
                  </a:solidFill>
                  <a:latin typeface="Aptos Narrow"/>
                </a:rPr>
                <a:t> R$ 3.880,00 </a:t>
              </a:fld>
              <a:endParaRPr lang="pt-BR" sz="3200">
                <a:solidFill>
                  <a:srgbClr val="2AE6B1"/>
                </a:solidFill>
              </a:endParaRPr>
            </a:p>
          </xdr:txBody>
        </xdr:sp>
        <xdr:sp macro="" textlink="">
          <xdr:nvSpPr>
            <xdr:cNvPr id="25" name="Retângulo: Cantos Superiores Arredondados 24">
              <a:extLst>
                <a:ext uri="{FF2B5EF4-FFF2-40B4-BE49-F238E27FC236}">
                  <a16:creationId xmlns:a16="http://schemas.microsoft.com/office/drawing/2014/main" id="{4F338397-E6A7-BB8F-E019-8470CABF3D48}"/>
                </a:ext>
              </a:extLst>
            </xdr:cNvPr>
            <xdr:cNvSpPr/>
          </xdr:nvSpPr>
          <xdr:spPr>
            <a:xfrm>
              <a:off x="2353235" y="1019735"/>
              <a:ext cx="4784912" cy="470647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/>
                <a:t>TOTAL</a:t>
              </a:r>
              <a:r>
                <a:rPr lang="pt-BR" sz="1200" baseline="0"/>
                <a:t> SUBSCRIPTIONS MINECRAFT SEASON PASS</a:t>
              </a:r>
              <a:endParaRPr lang="pt-BR" sz="1200"/>
            </a:p>
          </xdr:txBody>
        </xdr:sp>
      </xdr:grp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B2C170C1-F860-4D31-AC65-C132844D6D93}"/>
              </a:ext>
            </a:extLst>
          </xdr:cNvPr>
          <xdr:cNvGrpSpPr>
            <a:grpSpLocks noChangeAspect="1"/>
          </xdr:cNvGrpSpPr>
        </xdr:nvGrpSpPr>
        <xdr:grpSpPr>
          <a:xfrm>
            <a:off x="6604853" y="1477459"/>
            <a:ext cx="1029351" cy="504263"/>
            <a:chOff x="3638001" y="5414832"/>
            <a:chExt cx="1549476" cy="752476"/>
          </a:xfrm>
        </xdr:grpSpPr>
        <xdr:pic>
          <xdr:nvPicPr>
            <xdr:cNvPr id="27" name="Imagem 26">
              <a:extLst>
                <a:ext uri="{FF2B5EF4-FFF2-40B4-BE49-F238E27FC236}">
                  <a16:creationId xmlns:a16="http://schemas.microsoft.com/office/drawing/2014/main" id="{6FD42F90-35BF-0595-7A32-DECFD762C9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140935" y="5414832"/>
              <a:ext cx="555498" cy="609599"/>
            </a:xfrm>
            <a:prstGeom prst="rect">
              <a:avLst/>
            </a:prstGeom>
          </xdr:spPr>
        </xdr:pic>
        <xdr:pic>
          <xdr:nvPicPr>
            <xdr:cNvPr id="28" name="Gráfico 27">
              <a:extLst>
                <a:ext uri="{FF2B5EF4-FFF2-40B4-BE49-F238E27FC236}">
                  <a16:creationId xmlns:a16="http://schemas.microsoft.com/office/drawing/2014/main" id="{F0DD51B8-9848-EB56-980D-ACFCC3CE61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638001" y="5910095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227997</xdr:colOff>
      <xdr:row>11</xdr:row>
      <xdr:rowOff>75687</xdr:rowOff>
    </xdr:from>
    <xdr:to>
      <xdr:col>14</xdr:col>
      <xdr:colOff>582706</xdr:colOff>
      <xdr:row>29</xdr:row>
      <xdr:rowOff>43638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717ECD79-2C2A-80D4-5859-C45059612875}"/>
            </a:ext>
          </a:extLst>
        </xdr:cNvPr>
        <xdr:cNvGrpSpPr/>
      </xdr:nvGrpSpPr>
      <xdr:grpSpPr>
        <a:xfrm>
          <a:off x="2124714" y="2692991"/>
          <a:ext cx="7775927" cy="3396951"/>
          <a:chOff x="2345909" y="2721736"/>
          <a:chExt cx="7750591" cy="3396951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24E8CB92-6F90-B27F-D3ED-33EA98B8F2F0}"/>
              </a:ext>
            </a:extLst>
          </xdr:cNvPr>
          <xdr:cNvGrpSpPr/>
        </xdr:nvGrpSpPr>
        <xdr:grpSpPr>
          <a:xfrm>
            <a:off x="2345909" y="2721736"/>
            <a:ext cx="7750591" cy="3396951"/>
            <a:chOff x="1685192" y="1150327"/>
            <a:chExt cx="4850423" cy="2725615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B694F3AF-EA66-1BED-951C-725FB44597BC}"/>
                </a:ext>
              </a:extLst>
            </xdr:cNvPr>
            <xdr:cNvSpPr/>
          </xdr:nvSpPr>
          <xdr:spPr>
            <a:xfrm>
              <a:off x="1685192" y="1150327"/>
              <a:ext cx="4850423" cy="2725615"/>
            </a:xfrm>
            <a:prstGeom prst="roundRect">
              <a:avLst>
                <a:gd name="adj" fmla="val 717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0C32063-3946-4A32-AFF6-1A53250D2FD1}"/>
                </a:ext>
              </a:extLst>
            </xdr:cNvPr>
            <xdr:cNvGraphicFramePr>
              <a:graphicFrameLocks/>
            </xdr:cNvGraphicFramePr>
          </xdr:nvGraphicFramePr>
          <xdr:xfrm>
            <a:off x="1731606" y="1467231"/>
            <a:ext cx="4788775" cy="23826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B5D6F6F9-E2D8-4376-9597-3027492246D2}"/>
              </a:ext>
            </a:extLst>
          </xdr:cNvPr>
          <xdr:cNvSpPr/>
        </xdr:nvSpPr>
        <xdr:spPr>
          <a:xfrm>
            <a:off x="2348754" y="2725271"/>
            <a:ext cx="7747746" cy="368867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/>
              <a:t>TOTAL</a:t>
            </a:r>
            <a:r>
              <a:rPr lang="pt-BR" sz="1200" baseline="0"/>
              <a:t> SUBSCRIPTIONS XBOX GAME PASS </a:t>
            </a:r>
            <a:endParaRPr lang="pt-BR" sz="1200"/>
          </a:p>
        </xdr:txBody>
      </xdr:sp>
    </xdr:grpSp>
    <xdr:clientData/>
  </xdr:twoCellAnchor>
  <xdr:twoCellAnchor>
    <xdr:from>
      <xdr:col>0</xdr:col>
      <xdr:colOff>590271</xdr:colOff>
      <xdr:row>0</xdr:row>
      <xdr:rowOff>145677</xdr:rowOff>
    </xdr:from>
    <xdr:to>
      <xdr:col>0</xdr:col>
      <xdr:colOff>1281113</xdr:colOff>
      <xdr:row>2</xdr:row>
      <xdr:rowOff>192742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54151358-1E3C-4B61-B41A-D51B87D33DAF}"/>
            </a:ext>
          </a:extLst>
        </xdr:cNvPr>
        <xdr:cNvSpPr/>
      </xdr:nvSpPr>
      <xdr:spPr>
        <a:xfrm>
          <a:off x="590271" y="145677"/>
          <a:ext cx="690842" cy="69700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solidFill>
            <a:srgbClr val="5BF6A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218516</xdr:colOff>
      <xdr:row>3</xdr:row>
      <xdr:rowOff>48075</xdr:rowOff>
    </xdr:from>
    <xdr:to>
      <xdr:col>0</xdr:col>
      <xdr:colOff>1652869</xdr:colOff>
      <xdr:row>4</xdr:row>
      <xdr:rowOff>160134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AD4AA509-9967-B35E-851E-2BB9A946A37E}"/>
            </a:ext>
          </a:extLst>
        </xdr:cNvPr>
        <xdr:cNvSpPr/>
      </xdr:nvSpPr>
      <xdr:spPr>
        <a:xfrm>
          <a:off x="218516" y="905325"/>
          <a:ext cx="1434353" cy="302559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&gt; Bem vinda, Bárbara</a:t>
          </a:r>
        </a:p>
      </xdr:txBody>
    </xdr:sp>
    <xdr:clientData/>
  </xdr:twoCellAnchor>
  <xdr:twoCellAnchor>
    <xdr:from>
      <xdr:col>1</xdr:col>
      <xdr:colOff>85995</xdr:colOff>
      <xdr:row>3</xdr:row>
      <xdr:rowOff>48075</xdr:rowOff>
    </xdr:from>
    <xdr:to>
      <xdr:col>9</xdr:col>
      <xdr:colOff>455544</xdr:colOff>
      <xdr:row>4</xdr:row>
      <xdr:rowOff>160134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D9376D71-3415-49B7-90D9-0980A72F5F31}"/>
            </a:ext>
          </a:extLst>
        </xdr:cNvPr>
        <xdr:cNvSpPr/>
      </xdr:nvSpPr>
      <xdr:spPr>
        <a:xfrm>
          <a:off x="1981470" y="905325"/>
          <a:ext cx="4874874" cy="302559"/>
        </a:xfrm>
        <a:prstGeom prst="rect">
          <a:avLst/>
        </a:prstGeom>
        <a:solidFill>
          <a:srgbClr val="E8E6E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/>
              </a:solidFill>
            </a:rPr>
            <a:t>Calculation period: 01/01/2024 - 31/12/2024 | Update date:</a:t>
          </a:r>
          <a:r>
            <a:rPr lang="pt-BR" sz="1100" baseline="0">
              <a:solidFill>
                <a:schemeClr val="tx1"/>
              </a:solidFill>
            </a:rPr>
            <a:t> 24/05/2026 16:00:00</a:t>
          </a:r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ago Pezente Boaventura" refreshedDate="46166.597493865738" createdVersion="8" refreshedVersion="8" minRefreshableVersion="3" recordCount="295" xr:uid="{EF765206-F502-45E5-92C2-8D99A304AAF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280362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1B431-EEE5-4431-9E6F-8DD5090438EA}" name="Tabela dinâmica4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B30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8819C-6025-45E3-A4CB-24677B850764}" name="tbl_easeasonpass_total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72F68-15E4-4580-B1F0-ACABEB306497}" name="tbl_annual_total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8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EAF903A-3A25-44FD-BDFD-F56D157EFC32}" sourceName="Subscription Type">
  <pivotTables>
    <pivotTable tabId="3" name="tbl_annual_total"/>
    <pivotTable tabId="3" name="tbl_easeasonpass_total"/>
    <pivotTable tabId="3" name="Tabela dinâmica4"/>
  </pivotTables>
  <data>
    <tabular pivotCacheId="228036258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1F90C53-42F2-4CF0-9B08-E55812F5FEB9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="85" zoomScaleNormal="85" workbookViewId="0">
      <selection activeCell="M33" sqref="M33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M33" sqref="M3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C35"/>
  <sheetViews>
    <sheetView showGridLines="0" workbookViewId="0">
      <selection activeCell="M33" sqref="M33"/>
    </sheetView>
  </sheetViews>
  <sheetFormatPr defaultRowHeight="15" x14ac:dyDescent="0.25"/>
  <cols>
    <col min="2" max="2" width="18.85546875" bestFit="1" customWidth="1"/>
    <col min="3" max="3" width="19.28515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2:3" x14ac:dyDescent="0.25">
      <c r="B4" t="s">
        <v>313</v>
      </c>
      <c r="C4" t="s">
        <v>319</v>
      </c>
    </row>
    <row r="5" spans="2:3" x14ac:dyDescent="0.25">
      <c r="B5" t="s">
        <v>318</v>
      </c>
      <c r="C5" t="s">
        <v>320</v>
      </c>
    </row>
    <row r="6" spans="2:3" x14ac:dyDescent="0.25">
      <c r="B6" t="s">
        <v>322</v>
      </c>
      <c r="C6" t="s">
        <v>323</v>
      </c>
    </row>
    <row r="8" spans="2:3" x14ac:dyDescent="0.25">
      <c r="B8" s="12" t="s">
        <v>16</v>
      </c>
      <c r="C8" t="s">
        <v>317</v>
      </c>
    </row>
    <row r="10" spans="2:3" x14ac:dyDescent="0.25">
      <c r="B10" s="12" t="s">
        <v>314</v>
      </c>
      <c r="C10" t="s">
        <v>316</v>
      </c>
    </row>
    <row r="11" spans="2:3" x14ac:dyDescent="0.25">
      <c r="B11" s="13" t="s">
        <v>23</v>
      </c>
      <c r="C11" s="14">
        <v>3847</v>
      </c>
    </row>
    <row r="12" spans="2:3" x14ac:dyDescent="0.25">
      <c r="B12" s="13" t="s">
        <v>19</v>
      </c>
      <c r="C12" s="14">
        <v>3786</v>
      </c>
    </row>
    <row r="13" spans="2:3" x14ac:dyDescent="0.25">
      <c r="B13" s="13" t="s">
        <v>315</v>
      </c>
      <c r="C13" s="14">
        <v>7633</v>
      </c>
    </row>
    <row r="15" spans="2:3" x14ac:dyDescent="0.25">
      <c r="B15" t="s">
        <v>322</v>
      </c>
      <c r="C15" t="s">
        <v>323</v>
      </c>
    </row>
    <row r="17" spans="2:3" x14ac:dyDescent="0.25">
      <c r="B17" s="12" t="s">
        <v>16</v>
      </c>
      <c r="C17" t="s">
        <v>317</v>
      </c>
    </row>
    <row r="19" spans="2:3" x14ac:dyDescent="0.25">
      <c r="B19" s="12" t="s">
        <v>314</v>
      </c>
      <c r="C19" t="s">
        <v>324</v>
      </c>
    </row>
    <row r="20" spans="2:3" x14ac:dyDescent="0.25">
      <c r="B20" s="13" t="s">
        <v>22</v>
      </c>
      <c r="C20" s="17">
        <v>0</v>
      </c>
    </row>
    <row r="21" spans="2:3" x14ac:dyDescent="0.25">
      <c r="B21" s="13" t="s">
        <v>26</v>
      </c>
      <c r="C21" s="17">
        <v>0</v>
      </c>
    </row>
    <row r="22" spans="2:3" x14ac:dyDescent="0.25">
      <c r="B22" s="13" t="s">
        <v>18</v>
      </c>
      <c r="C22" s="17">
        <v>2940</v>
      </c>
    </row>
    <row r="23" spans="2:3" x14ac:dyDescent="0.25">
      <c r="B23" s="13" t="s">
        <v>315</v>
      </c>
      <c r="C23" s="17">
        <v>2940</v>
      </c>
    </row>
    <row r="24" spans="2:3" x14ac:dyDescent="0.25">
      <c r="C24" s="18">
        <f>GETPIVOTDATA("EA Play Season Pass
Price",$B$19)</f>
        <v>2940</v>
      </c>
    </row>
    <row r="26" spans="2:3" x14ac:dyDescent="0.25">
      <c r="B26" t="s">
        <v>325</v>
      </c>
      <c r="C26" t="s">
        <v>326</v>
      </c>
    </row>
    <row r="28" spans="2:3" x14ac:dyDescent="0.25">
      <c r="B28" s="12" t="s">
        <v>16</v>
      </c>
      <c r="C28" t="s">
        <v>317</v>
      </c>
    </row>
    <row r="30" spans="2:3" x14ac:dyDescent="0.25">
      <c r="B30" s="12" t="s">
        <v>314</v>
      </c>
      <c r="C30" t="s">
        <v>327</v>
      </c>
    </row>
    <row r="31" spans="2:3" x14ac:dyDescent="0.25">
      <c r="B31" s="13" t="s">
        <v>22</v>
      </c>
      <c r="C31" s="14">
        <v>0</v>
      </c>
    </row>
    <row r="32" spans="2:3" x14ac:dyDescent="0.25">
      <c r="B32" s="13" t="s">
        <v>26</v>
      </c>
      <c r="C32" s="14">
        <v>1920</v>
      </c>
    </row>
    <row r="33" spans="2:3" x14ac:dyDescent="0.25">
      <c r="B33" s="13" t="s">
        <v>18</v>
      </c>
      <c r="C33" s="14">
        <v>1960</v>
      </c>
    </row>
    <row r="34" spans="2:3" x14ac:dyDescent="0.25">
      <c r="B34" s="13" t="s">
        <v>315</v>
      </c>
      <c r="C34" s="14">
        <v>3880</v>
      </c>
    </row>
    <row r="35" spans="2:3" x14ac:dyDescent="0.25">
      <c r="C35" s="18">
        <f>GETPIVOTDATA("Minecraft Season Pass Price",$B$30)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O101"/>
  <sheetViews>
    <sheetView showGridLines="0" showRowColHeaders="0" tabSelected="1" zoomScale="115" zoomScaleNormal="115" workbookViewId="0">
      <selection activeCell="T15" sqref="T15"/>
    </sheetView>
  </sheetViews>
  <sheetFormatPr defaultRowHeight="15" x14ac:dyDescent="0.25"/>
  <cols>
    <col min="1" max="1" width="28.42578125" style="16" customWidth="1"/>
    <col min="2" max="2" width="3.5703125" customWidth="1"/>
    <col min="12" max="12" width="6.5703125" customWidth="1"/>
  </cols>
  <sheetData>
    <row r="1" spans="1:15" ht="12.75" customHeight="1" x14ac:dyDescent="0.25"/>
    <row r="2" spans="1:15" ht="39" customHeight="1" thickBot="1" x14ac:dyDescent="0.5">
      <c r="C2" s="19" t="s">
        <v>321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15.75" thickTop="1" x14ac:dyDescent="0.25"/>
    <row r="4" spans="1:15" s="7" customFormat="1" x14ac:dyDescent="0.25">
      <c r="A4" s="16"/>
    </row>
    <row r="5" spans="1:15" s="7" customFormat="1" x14ac:dyDescent="0.25">
      <c r="A5" s="16"/>
    </row>
    <row r="6" spans="1:15" s="7" customFormat="1" x14ac:dyDescent="0.25">
      <c r="A6" s="16"/>
    </row>
    <row r="7" spans="1:15" s="7" customFormat="1" x14ac:dyDescent="0.25">
      <c r="A7" s="16"/>
    </row>
    <row r="8" spans="1:15" s="7" customFormat="1" ht="33" customHeight="1" x14ac:dyDescent="0.25">
      <c r="A8" s="16"/>
    </row>
    <row r="9" spans="1:15" s="7" customFormat="1" x14ac:dyDescent="0.25">
      <c r="A9" s="16"/>
    </row>
    <row r="10" spans="1:15" s="7" customFormat="1" x14ac:dyDescent="0.25">
      <c r="A10" s="16"/>
    </row>
    <row r="11" spans="1:15" s="7" customFormat="1" x14ac:dyDescent="0.25">
      <c r="A11" s="16"/>
    </row>
    <row r="12" spans="1:15" s="7" customFormat="1" x14ac:dyDescent="0.25">
      <c r="A12" s="16"/>
    </row>
    <row r="13" spans="1:15" s="7" customFormat="1" x14ac:dyDescent="0.25">
      <c r="A13" s="16"/>
    </row>
    <row r="14" spans="1:15" s="7" customFormat="1" x14ac:dyDescent="0.25">
      <c r="A14" s="16"/>
    </row>
    <row r="15" spans="1:15" s="7" customFormat="1" x14ac:dyDescent="0.25">
      <c r="A15" s="16"/>
    </row>
    <row r="16" spans="1:15" s="7" customFormat="1" x14ac:dyDescent="0.25">
      <c r="A16" s="16"/>
    </row>
    <row r="17" spans="1:1" s="7" customFormat="1" x14ac:dyDescent="0.25">
      <c r="A17" s="16"/>
    </row>
    <row r="18" spans="1:1" s="7" customFormat="1" x14ac:dyDescent="0.25">
      <c r="A18" s="16"/>
    </row>
    <row r="19" spans="1:1" s="7" customFormat="1" x14ac:dyDescent="0.25">
      <c r="A19" s="16"/>
    </row>
    <row r="20" spans="1:1" s="7" customFormat="1" x14ac:dyDescent="0.25">
      <c r="A20" s="16"/>
    </row>
    <row r="21" spans="1:1" s="7" customFormat="1" x14ac:dyDescent="0.25">
      <c r="A21" s="16"/>
    </row>
    <row r="22" spans="1:1" s="7" customFormat="1" x14ac:dyDescent="0.25">
      <c r="A22" s="16"/>
    </row>
    <row r="23" spans="1:1" s="7" customFormat="1" x14ac:dyDescent="0.25">
      <c r="A23" s="16"/>
    </row>
    <row r="24" spans="1:1" s="7" customFormat="1" x14ac:dyDescent="0.25">
      <c r="A24" s="16"/>
    </row>
    <row r="25" spans="1:1" s="7" customFormat="1" x14ac:dyDescent="0.25">
      <c r="A25" s="16"/>
    </row>
    <row r="26" spans="1:1" s="7" customFormat="1" x14ac:dyDescent="0.25">
      <c r="A26" s="16"/>
    </row>
    <row r="27" spans="1:1" s="7" customFormat="1" x14ac:dyDescent="0.25">
      <c r="A27" s="16"/>
    </row>
    <row r="28" spans="1:1" s="7" customFormat="1" x14ac:dyDescent="0.25">
      <c r="A28" s="16"/>
    </row>
    <row r="29" spans="1:1" s="7" customFormat="1" x14ac:dyDescent="0.25">
      <c r="A29" s="16"/>
    </row>
    <row r="30" spans="1:1" s="7" customFormat="1" x14ac:dyDescent="0.25">
      <c r="A30" s="16"/>
    </row>
    <row r="31" spans="1:1" s="7" customFormat="1" x14ac:dyDescent="0.25">
      <c r="A31" s="16"/>
    </row>
    <row r="32" spans="1:1" s="7" customFormat="1" x14ac:dyDescent="0.25">
      <c r="A32" s="16"/>
    </row>
    <row r="33" spans="1:1" s="7" customFormat="1" x14ac:dyDescent="0.25">
      <c r="A33" s="16"/>
    </row>
    <row r="34" spans="1:1" s="7" customFormat="1" x14ac:dyDescent="0.25">
      <c r="A34" s="16"/>
    </row>
    <row r="35" spans="1:1" s="7" customFormat="1" x14ac:dyDescent="0.25">
      <c r="A35" s="16"/>
    </row>
    <row r="36" spans="1:1" s="7" customFormat="1" x14ac:dyDescent="0.25">
      <c r="A36" s="16"/>
    </row>
    <row r="37" spans="1:1" s="7" customFormat="1" x14ac:dyDescent="0.25">
      <c r="A37" s="16"/>
    </row>
    <row r="38" spans="1:1" s="7" customFormat="1" x14ac:dyDescent="0.25">
      <c r="A38" s="16"/>
    </row>
    <row r="39" spans="1:1" s="7" customFormat="1" x14ac:dyDescent="0.25">
      <c r="A39" s="16"/>
    </row>
    <row r="40" spans="1:1" s="7" customFormat="1" x14ac:dyDescent="0.25">
      <c r="A40" s="16"/>
    </row>
    <row r="41" spans="1:1" s="7" customFormat="1" x14ac:dyDescent="0.25">
      <c r="A41" s="16"/>
    </row>
    <row r="42" spans="1:1" s="7" customFormat="1" x14ac:dyDescent="0.25">
      <c r="A42" s="16"/>
    </row>
    <row r="43" spans="1:1" s="7" customFormat="1" x14ac:dyDescent="0.25">
      <c r="A43" s="16"/>
    </row>
    <row r="44" spans="1:1" s="7" customFormat="1" x14ac:dyDescent="0.25">
      <c r="A44" s="16"/>
    </row>
    <row r="45" spans="1:1" s="7" customFormat="1" x14ac:dyDescent="0.25">
      <c r="A45" s="16"/>
    </row>
    <row r="46" spans="1:1" s="7" customFormat="1" x14ac:dyDescent="0.25">
      <c r="A46" s="16"/>
    </row>
    <row r="47" spans="1:1" s="7" customFormat="1" x14ac:dyDescent="0.25">
      <c r="A47" s="16"/>
    </row>
    <row r="48" spans="1:1" s="7" customFormat="1" x14ac:dyDescent="0.25">
      <c r="A48" s="16"/>
    </row>
    <row r="49" spans="1:1" s="7" customFormat="1" x14ac:dyDescent="0.25">
      <c r="A49" s="16"/>
    </row>
    <row r="50" spans="1:1" s="7" customFormat="1" x14ac:dyDescent="0.25">
      <c r="A50" s="16"/>
    </row>
    <row r="51" spans="1:1" s="7" customFormat="1" x14ac:dyDescent="0.25">
      <c r="A51" s="16"/>
    </row>
    <row r="52" spans="1:1" s="7" customFormat="1" x14ac:dyDescent="0.25">
      <c r="A52" s="16"/>
    </row>
    <row r="53" spans="1:1" s="7" customFormat="1" x14ac:dyDescent="0.25">
      <c r="A53" s="16"/>
    </row>
    <row r="54" spans="1:1" s="7" customFormat="1" x14ac:dyDescent="0.25">
      <c r="A54" s="16"/>
    </row>
    <row r="55" spans="1:1" s="7" customFormat="1" x14ac:dyDescent="0.25">
      <c r="A55" s="16"/>
    </row>
    <row r="56" spans="1:1" s="7" customFormat="1" x14ac:dyDescent="0.25">
      <c r="A56" s="16"/>
    </row>
    <row r="57" spans="1:1" s="7" customFormat="1" x14ac:dyDescent="0.25">
      <c r="A57" s="16"/>
    </row>
    <row r="58" spans="1:1" s="7" customFormat="1" x14ac:dyDescent="0.25">
      <c r="A58" s="16"/>
    </row>
    <row r="59" spans="1:1" s="7" customFormat="1" x14ac:dyDescent="0.25">
      <c r="A59" s="16"/>
    </row>
    <row r="60" spans="1:1" s="7" customFormat="1" x14ac:dyDescent="0.25">
      <c r="A60" s="16"/>
    </row>
    <row r="61" spans="1:1" s="7" customFormat="1" x14ac:dyDescent="0.25">
      <c r="A61" s="16"/>
    </row>
    <row r="62" spans="1:1" s="7" customFormat="1" x14ac:dyDescent="0.25">
      <c r="A62" s="16"/>
    </row>
    <row r="63" spans="1:1" s="7" customFormat="1" x14ac:dyDescent="0.25">
      <c r="A63" s="16"/>
    </row>
    <row r="64" spans="1:1" s="7" customFormat="1" x14ac:dyDescent="0.25">
      <c r="A64" s="16"/>
    </row>
    <row r="65" spans="1:1" s="7" customFormat="1" x14ac:dyDescent="0.25">
      <c r="A65" s="16"/>
    </row>
    <row r="66" spans="1:1" s="7" customFormat="1" x14ac:dyDescent="0.25">
      <c r="A66" s="16"/>
    </row>
    <row r="67" spans="1:1" s="7" customFormat="1" x14ac:dyDescent="0.25">
      <c r="A67" s="16"/>
    </row>
    <row r="68" spans="1:1" s="7" customFormat="1" x14ac:dyDescent="0.25">
      <c r="A68" s="16"/>
    </row>
    <row r="69" spans="1:1" s="7" customFormat="1" x14ac:dyDescent="0.25">
      <c r="A69" s="16"/>
    </row>
    <row r="70" spans="1:1" s="7" customFormat="1" x14ac:dyDescent="0.25">
      <c r="A70" s="16"/>
    </row>
    <row r="71" spans="1:1" s="7" customFormat="1" x14ac:dyDescent="0.25">
      <c r="A71" s="16"/>
    </row>
    <row r="72" spans="1:1" s="7" customFormat="1" x14ac:dyDescent="0.25">
      <c r="A72" s="16"/>
    </row>
    <row r="73" spans="1:1" s="7" customFormat="1" x14ac:dyDescent="0.25">
      <c r="A73" s="16"/>
    </row>
    <row r="74" spans="1:1" s="7" customFormat="1" x14ac:dyDescent="0.25">
      <c r="A74" s="16"/>
    </row>
    <row r="75" spans="1:1" s="7" customFormat="1" x14ac:dyDescent="0.25">
      <c r="A75" s="16"/>
    </row>
    <row r="76" spans="1:1" s="7" customFormat="1" x14ac:dyDescent="0.25">
      <c r="A76" s="16"/>
    </row>
    <row r="77" spans="1:1" s="7" customFormat="1" x14ac:dyDescent="0.25">
      <c r="A77" s="16"/>
    </row>
    <row r="78" spans="1:1" s="7" customFormat="1" x14ac:dyDescent="0.25">
      <c r="A78" s="16"/>
    </row>
    <row r="79" spans="1:1" s="7" customFormat="1" x14ac:dyDescent="0.25">
      <c r="A79" s="16"/>
    </row>
    <row r="80" spans="1:1" s="7" customFormat="1" x14ac:dyDescent="0.25">
      <c r="A80" s="16"/>
    </row>
    <row r="81" spans="1:1" s="7" customFormat="1" x14ac:dyDescent="0.25">
      <c r="A81" s="16"/>
    </row>
    <row r="82" spans="1:1" s="7" customFormat="1" x14ac:dyDescent="0.25">
      <c r="A82" s="16"/>
    </row>
    <row r="83" spans="1:1" s="7" customFormat="1" x14ac:dyDescent="0.25">
      <c r="A83" s="16"/>
    </row>
    <row r="84" spans="1:1" s="7" customFormat="1" x14ac:dyDescent="0.25">
      <c r="A84" s="16"/>
    </row>
    <row r="85" spans="1:1" s="7" customFormat="1" x14ac:dyDescent="0.25">
      <c r="A85" s="16"/>
    </row>
    <row r="86" spans="1:1" s="7" customFormat="1" x14ac:dyDescent="0.25">
      <c r="A86" s="16"/>
    </row>
    <row r="87" spans="1:1" s="7" customFormat="1" x14ac:dyDescent="0.25">
      <c r="A87" s="16"/>
    </row>
    <row r="88" spans="1:1" s="7" customFormat="1" x14ac:dyDescent="0.25">
      <c r="A88" s="16"/>
    </row>
    <row r="89" spans="1:1" s="7" customFormat="1" x14ac:dyDescent="0.25">
      <c r="A89" s="16"/>
    </row>
    <row r="90" spans="1:1" s="7" customFormat="1" x14ac:dyDescent="0.25">
      <c r="A90" s="16"/>
    </row>
    <row r="91" spans="1:1" s="7" customFormat="1" x14ac:dyDescent="0.25">
      <c r="A91" s="16"/>
    </row>
    <row r="92" spans="1:1" s="7" customFormat="1" x14ac:dyDescent="0.25">
      <c r="A92" s="16"/>
    </row>
    <row r="93" spans="1:1" s="7" customFormat="1" x14ac:dyDescent="0.25">
      <c r="A93" s="16"/>
    </row>
    <row r="94" spans="1:1" s="7" customFormat="1" x14ac:dyDescent="0.25">
      <c r="A94" s="16"/>
    </row>
    <row r="95" spans="1:1" s="7" customFormat="1" x14ac:dyDescent="0.25">
      <c r="A95" s="16"/>
    </row>
    <row r="96" spans="1:1" s="7" customFormat="1" x14ac:dyDescent="0.25">
      <c r="A96" s="16"/>
    </row>
    <row r="97" spans="1:1" s="7" customFormat="1" x14ac:dyDescent="0.25">
      <c r="A97" s="16"/>
    </row>
    <row r="98" spans="1:1" s="7" customFormat="1" x14ac:dyDescent="0.25">
      <c r="A98" s="16"/>
    </row>
    <row r="99" spans="1:1" s="7" customFormat="1" x14ac:dyDescent="0.25">
      <c r="A99" s="16"/>
    </row>
    <row r="100" spans="1:1" s="7" customFormat="1" x14ac:dyDescent="0.25">
      <c r="A100" s="16"/>
    </row>
    <row r="101" spans="1:1" s="7" customFormat="1" x14ac:dyDescent="0.25">
      <c r="A101" s="1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Tiago Pezente Boaventura</cp:lastModifiedBy>
  <dcterms:created xsi:type="dcterms:W3CDTF">2024-12-19T13:13:10Z</dcterms:created>
  <dcterms:modified xsi:type="dcterms:W3CDTF">2026-05-24T19:20:28Z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